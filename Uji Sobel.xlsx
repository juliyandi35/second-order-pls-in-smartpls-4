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7650125 (Second Order PLS in SmartPLS 4)\"/>
    </mc:Choice>
  </mc:AlternateContent>
  <xr:revisionPtr revIDLastSave="0" documentId="13_ncr:1_{B1731972-69C1-401A-BF73-2FA85150E3B8}" xr6:coauthVersionLast="47" xr6:coauthVersionMax="47" xr10:uidLastSave="{00000000-0000-0000-0000-000000000000}"/>
  <bookViews>
    <workbookView xWindow="9510" yWindow="0" windowWidth="9780" windowHeight="10170" xr2:uid="{06A6D30D-25ED-4D49-95E1-13119519EBF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" l="1"/>
  <c r="B30" i="2"/>
  <c r="B25" i="2"/>
  <c r="B21" i="2"/>
  <c r="B35" i="2"/>
  <c r="B31" i="2"/>
  <c r="B26" i="2"/>
  <c r="B22" i="2"/>
  <c r="G14" i="2"/>
  <c r="H14" i="2"/>
  <c r="G15" i="2"/>
  <c r="H15" i="2"/>
  <c r="G16" i="2"/>
  <c r="H16" i="2"/>
  <c r="G17" i="2"/>
  <c r="H17" i="2"/>
  <c r="G18" i="2"/>
  <c r="H18" i="2"/>
  <c r="H13" i="2"/>
  <c r="G13" i="2"/>
  <c r="H12" i="2"/>
  <c r="G12" i="2"/>
  <c r="H11" i="2"/>
  <c r="G11" i="2"/>
  <c r="B8" i="2"/>
  <c r="D25" i="2" l="1"/>
  <c r="D30" i="2"/>
  <c r="D34" i="2"/>
  <c r="D21" i="2"/>
  <c r="H3" i="2"/>
  <c r="H4" i="2"/>
  <c r="H2" i="2"/>
  <c r="G4" i="2"/>
  <c r="G3" i="2"/>
  <c r="G2" i="2"/>
  <c r="B7" i="2" l="1"/>
  <c r="D7" i="2"/>
</calcChain>
</file>

<file path=xl/sharedStrings.xml><?xml version="1.0" encoding="utf-8"?>
<sst xmlns="http://schemas.openxmlformats.org/spreadsheetml/2006/main" count="47" uniqueCount="31">
  <si>
    <t/>
  </si>
  <si>
    <t>Original Sample (O)</t>
  </si>
  <si>
    <t>Sample Mean (M)</t>
  </si>
  <si>
    <t>Standard Deviation (STDEV)</t>
  </si>
  <si>
    <t>T Statistics (|O/STDEV|)</t>
  </si>
  <si>
    <t>P Values</t>
  </si>
  <si>
    <t>Significance</t>
  </si>
  <si>
    <t>Standar Error</t>
  </si>
  <si>
    <t>t hitung</t>
  </si>
  <si>
    <t>Kesimpulan</t>
  </si>
  <si>
    <t>t tabel</t>
  </si>
  <si>
    <t>Intelectual Capital -&gt; Financial Performance</t>
  </si>
  <si>
    <t>Intelectual Capital -&gt; Sustainable Competitive Advantage</t>
  </si>
  <si>
    <t>Sustainable Competitive Advantage -&gt; Financial Performance</t>
  </si>
  <si>
    <t>IC -&gt; SAC -&gt; FP</t>
  </si>
  <si>
    <t>Original sample (O)</t>
  </si>
  <si>
    <t>Sample mean (M)</t>
  </si>
  <si>
    <t>Standard deviation (STDEV)</t>
  </si>
  <si>
    <t>T statistics (|O/STDEV|)</t>
  </si>
  <si>
    <t>P values</t>
  </si>
  <si>
    <t>COMMUNICATION SKILL -&gt; KEMAMPUAN ACCOUNT REPRESENTATIVE</t>
  </si>
  <si>
    <t>KEMAMPUAN ACCOUNT REPRESENTATIVE -&gt; KEPATUHAN WAJIB PAJAK</t>
  </si>
  <si>
    <t>PENGALAMAN -&gt; KEMAMPUAN ACCOUNT REPRESENTATIVE</t>
  </si>
  <si>
    <t>PENGALAMAN -&gt; KEPATUHAN WAJIB PAJAK</t>
  </si>
  <si>
    <t>PENGETAHUAN -&gt; KEMAMPUAN ACCOUNT REPRESENTATIVE</t>
  </si>
  <si>
    <t>PENGETAHUAN -&gt; KEPATUHAN WAJIB PAJAK</t>
  </si>
  <si>
    <t>COMMUNICATION SKILL x PENGALAMAN -&gt; KEMAMPUAN ACCOUNT REPRESENTATIVE</t>
  </si>
  <si>
    <t>COMMUNICATION SKILL x PENGETAHUAN -&gt; KEMAMPUAN ACCOUNT REPRESENTATIVE</t>
  </si>
  <si>
    <t>Pengetahuan -&gt; KAR -&gt; KWP</t>
  </si>
  <si>
    <t>Pengalaman -&gt; KAR -&gt; KWP</t>
  </si>
  <si>
    <t>Setelah di Moderasi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</si>
</sst>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sz val="11"/>
      <color rgb="FF8B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164" fontId="2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/>
    <xf numFmtId="164" fontId="0" fillId="5" borderId="1" xfId="0" applyNumberForma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A265-8475-4584-B90D-58F4FFB16515}">
  <dimension ref="A1:H35"/>
  <sheetViews>
    <sheetView tabSelected="1" topLeftCell="B19" workbookViewId="0">
      <selection activeCell="B21" sqref="B21"/>
    </sheetView>
  </sheetViews>
  <sheetFormatPr defaultRowHeight="14.5" x14ac:dyDescent="0.35"/>
  <cols>
    <col min="1" max="1" width="74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11</v>
      </c>
      <c r="B2" s="3">
        <v>-0.1133798786917633</v>
      </c>
      <c r="C2" s="3">
        <v>-0.13321129104031257</v>
      </c>
      <c r="D2" s="3">
        <v>7.2386207066194058E-2</v>
      </c>
      <c r="E2" s="3">
        <v>1.5663188235305976</v>
      </c>
      <c r="F2" s="4">
        <v>0.11790664200924539</v>
      </c>
      <c r="G2" s="4" t="str">
        <f>IF(F2&lt;0.01,"***",IF(F2&lt;0.05,"**",IF(F2&lt;0.1,"*","Not Significant")))</f>
        <v>Not Significant</v>
      </c>
      <c r="H2" s="5">
        <f>D2/SQRT(594)</f>
        <v>2.9700420513721791E-3</v>
      </c>
    </row>
    <row r="3" spans="1:8" x14ac:dyDescent="0.35">
      <c r="A3" s="2" t="s">
        <v>12</v>
      </c>
      <c r="B3" s="6">
        <v>0.33855910256760202</v>
      </c>
      <c r="C3" s="6">
        <v>0.37525837805159512</v>
      </c>
      <c r="D3" s="6">
        <v>0.11624455195656719</v>
      </c>
      <c r="E3" s="6">
        <v>2.912472858892337</v>
      </c>
      <c r="F3" s="7">
        <v>3.7461188398424383E-3</v>
      </c>
      <c r="G3" s="4" t="str">
        <f t="shared" ref="G3:G4" si="0">IF(F3&lt;0.01,"***",IF(F3&lt;0.05,"**",IF(F3&lt;0.1,"*","Not Significant")))</f>
        <v>***</v>
      </c>
      <c r="H3" s="5">
        <f t="shared" ref="H3:H4" si="1">D3/SQRT(594)</f>
        <v>4.7695717395194546E-3</v>
      </c>
    </row>
    <row r="4" spans="1:8" x14ac:dyDescent="0.35">
      <c r="A4" s="2" t="s">
        <v>13</v>
      </c>
      <c r="B4" s="3">
        <v>0.3420310763148971</v>
      </c>
      <c r="C4" s="3">
        <v>0.38126123203908563</v>
      </c>
      <c r="D4" s="3">
        <v>6.6997655516586832E-2</v>
      </c>
      <c r="E4" s="3">
        <v>5.1051200773767276</v>
      </c>
      <c r="F4" s="8">
        <v>4.7072597908481839E-7</v>
      </c>
      <c r="G4" s="4" t="str">
        <f t="shared" si="0"/>
        <v>***</v>
      </c>
      <c r="H4" s="5">
        <f t="shared" si="1"/>
        <v>2.7489471032187966E-3</v>
      </c>
    </row>
    <row r="6" spans="1:8" x14ac:dyDescent="0.35">
      <c r="A6" t="s">
        <v>14</v>
      </c>
    </row>
    <row r="7" spans="1:8" x14ac:dyDescent="0.35">
      <c r="A7" t="s">
        <v>8</v>
      </c>
      <c r="B7">
        <f>(B3*B4)/(SQRT(((B4^2)*(H3^2))+((B3^2)*(H4^2))))</f>
        <v>61.655248034286764</v>
      </c>
      <c r="C7" t="s">
        <v>9</v>
      </c>
      <c r="D7" t="str">
        <f>IF(ABS(B7)&lt;B8,"Gagal Intervernsi","Sukses Intervensi")</f>
        <v>Sukses Intervensi</v>
      </c>
    </row>
    <row r="8" spans="1:8" x14ac:dyDescent="0.35">
      <c r="A8" t="s">
        <v>10</v>
      </c>
      <c r="B8">
        <f>TINV(0.05,(594-3))</f>
        <v>1.9639860731303098</v>
      </c>
    </row>
    <row r="10" spans="1:8" x14ac:dyDescent="0.35">
      <c r="A10" s="9" t="s">
        <v>0</v>
      </c>
      <c r="B10" s="10" t="s">
        <v>15</v>
      </c>
      <c r="C10" s="10" t="s">
        <v>16</v>
      </c>
      <c r="D10" s="10" t="s">
        <v>17</v>
      </c>
      <c r="E10" s="10" t="s">
        <v>18</v>
      </c>
      <c r="F10" s="10" t="s">
        <v>19</v>
      </c>
      <c r="G10" s="2" t="s">
        <v>6</v>
      </c>
      <c r="H10" s="2" t="s">
        <v>7</v>
      </c>
    </row>
    <row r="11" spans="1:8" x14ac:dyDescent="0.35">
      <c r="A11" s="11" t="s">
        <v>20</v>
      </c>
      <c r="B11" s="12">
        <v>0.28869341154561917</v>
      </c>
      <c r="C11" s="12">
        <v>0.29247141196229037</v>
      </c>
      <c r="D11" s="12">
        <v>6.0568223204576839E-2</v>
      </c>
      <c r="E11" s="12">
        <v>4.7664170462871374</v>
      </c>
      <c r="F11" s="13">
        <v>1.9286250676486816E-6</v>
      </c>
      <c r="G11" s="4" t="str">
        <f>IF(F11&lt;0.01,"***",IF(F11&lt;0.05,"**",IF(F11&lt;0.1,"*","Not Significant")))</f>
        <v>***</v>
      </c>
      <c r="H11" s="5">
        <f>D11/SQRT(594)</f>
        <v>2.4851443000734603E-3</v>
      </c>
    </row>
    <row r="12" spans="1:8" x14ac:dyDescent="0.35">
      <c r="A12" s="11" t="s">
        <v>21</v>
      </c>
      <c r="B12" s="14">
        <v>0.34334032514809604</v>
      </c>
      <c r="C12" s="14">
        <v>0.34316240963424682</v>
      </c>
      <c r="D12" s="14">
        <v>8.0608536493654959E-2</v>
      </c>
      <c r="E12" s="14">
        <v>4.2593544069010836</v>
      </c>
      <c r="F12" s="15">
        <v>2.0878702628124302E-5</v>
      </c>
      <c r="G12" s="4" t="str">
        <f t="shared" ref="G12:G14" si="2">IF(F12&lt;0.01,"***",IF(F12&lt;0.05,"**",IF(F12&lt;0.1,"*","Not Significant")))</f>
        <v>***</v>
      </c>
      <c r="H12" s="5">
        <f t="shared" ref="H12:H14" si="3">D12/SQRT(594)</f>
        <v>3.3074083142219809E-3</v>
      </c>
    </row>
    <row r="13" spans="1:8" x14ac:dyDescent="0.35">
      <c r="A13" s="11" t="s">
        <v>22</v>
      </c>
      <c r="B13" s="12">
        <v>0.31902494480647597</v>
      </c>
      <c r="C13" s="12">
        <v>0.31748916883512129</v>
      </c>
      <c r="D13" s="12">
        <v>7.8110844669333601E-2</v>
      </c>
      <c r="E13" s="12">
        <v>4.0842593132490537</v>
      </c>
      <c r="F13" s="13">
        <v>4.4909577184171212E-5</v>
      </c>
      <c r="G13" s="4" t="str">
        <f t="shared" si="2"/>
        <v>***</v>
      </c>
      <c r="H13" s="5">
        <f t="shared" si="3"/>
        <v>3.2049267773344454E-3</v>
      </c>
    </row>
    <row r="14" spans="1:8" x14ac:dyDescent="0.35">
      <c r="A14" s="11" t="s">
        <v>23</v>
      </c>
      <c r="B14" s="14">
        <v>0.33237775228173749</v>
      </c>
      <c r="C14" s="14">
        <v>0.33272082694656874</v>
      </c>
      <c r="D14" s="14">
        <v>8.2038054408118233E-2</v>
      </c>
      <c r="E14" s="14">
        <v>4.0515070070804411</v>
      </c>
      <c r="F14" s="15">
        <v>5.1661001805314299E-5</v>
      </c>
      <c r="G14" s="4" t="str">
        <f t="shared" si="2"/>
        <v>***</v>
      </c>
      <c r="H14" s="5">
        <f t="shared" si="3"/>
        <v>3.3660621447129642E-3</v>
      </c>
    </row>
    <row r="15" spans="1:8" x14ac:dyDescent="0.35">
      <c r="A15" s="11" t="s">
        <v>24</v>
      </c>
      <c r="B15" s="12">
        <v>0.24374779948512931</v>
      </c>
      <c r="C15" s="12">
        <v>0.24195982473403843</v>
      </c>
      <c r="D15" s="12">
        <v>6.8181344360099108E-2</v>
      </c>
      <c r="E15" s="12">
        <v>3.5749925697823981</v>
      </c>
      <c r="F15" s="13">
        <v>3.5354603784298888E-4</v>
      </c>
      <c r="G15" s="4" t="str">
        <f t="shared" ref="G15:G18" si="4">IF(F15&lt;0.01,"***",IF(F15&lt;0.05,"**",IF(F15&lt;0.1,"*","Not Significant")))</f>
        <v>***</v>
      </c>
      <c r="H15" s="5">
        <f t="shared" ref="H15:H18" si="5">D15/SQRT(594)</f>
        <v>2.7975144447533059E-3</v>
      </c>
    </row>
    <row r="16" spans="1:8" x14ac:dyDescent="0.35">
      <c r="A16" s="11" t="s">
        <v>25</v>
      </c>
      <c r="B16" s="14">
        <v>0.21724308507647008</v>
      </c>
      <c r="C16" s="14">
        <v>0.21851304488303022</v>
      </c>
      <c r="D16" s="14">
        <v>7.587595098772397E-2</v>
      </c>
      <c r="E16" s="14">
        <v>2.8631349228376459</v>
      </c>
      <c r="F16" s="15">
        <v>4.2121609587297826E-3</v>
      </c>
      <c r="G16" s="4" t="str">
        <f t="shared" si="4"/>
        <v>***</v>
      </c>
      <c r="H16" s="5">
        <f t="shared" si="5"/>
        <v>3.1132279788512389E-3</v>
      </c>
    </row>
    <row r="17" spans="1:8" x14ac:dyDescent="0.35">
      <c r="A17" s="11" t="s">
        <v>26</v>
      </c>
      <c r="B17" s="12">
        <v>2.9508947893799483E-2</v>
      </c>
      <c r="C17" s="12">
        <v>2.8603917191851042E-2</v>
      </c>
      <c r="D17" s="12">
        <v>6.8313181692415237E-2</v>
      </c>
      <c r="E17" s="12">
        <v>0.43196564942130106</v>
      </c>
      <c r="F17" s="16">
        <v>0.66578500000736085</v>
      </c>
      <c r="G17" s="4" t="str">
        <f t="shared" si="4"/>
        <v>Not Significant</v>
      </c>
      <c r="H17" s="5">
        <f t="shared" si="5"/>
        <v>2.8029237960204827E-3</v>
      </c>
    </row>
    <row r="18" spans="1:8" x14ac:dyDescent="0.35">
      <c r="A18" s="11" t="s">
        <v>27</v>
      </c>
      <c r="B18" s="14">
        <v>-0.15192123076726013</v>
      </c>
      <c r="C18" s="14">
        <v>-0.1497503619977007</v>
      </c>
      <c r="D18" s="14">
        <v>6.731126241809976E-2</v>
      </c>
      <c r="E18" s="14">
        <v>2.2569957137872527</v>
      </c>
      <c r="F18" s="15">
        <v>2.4051317300461506E-2</v>
      </c>
      <c r="G18" s="4" t="str">
        <f t="shared" si="4"/>
        <v>**</v>
      </c>
      <c r="H18" s="5">
        <f t="shared" si="5"/>
        <v>2.7618145502483417E-3</v>
      </c>
    </row>
    <row r="20" spans="1:8" x14ac:dyDescent="0.35">
      <c r="A20" t="s">
        <v>28</v>
      </c>
    </row>
    <row r="21" spans="1:8" x14ac:dyDescent="0.35">
      <c r="A21" t="s">
        <v>8</v>
      </c>
      <c r="B21">
        <f>(B15*B12)/(SQRT(((B12^2)*(H15^2))+((B15^2)*(H12^2))))</f>
        <v>66.738069212649506</v>
      </c>
      <c r="C21" t="s">
        <v>9</v>
      </c>
      <c r="D21" t="str">
        <f>IF(ABS(B21)&lt;B22,"Gagal Intervernsi","Sukses Intervensi")</f>
        <v>Sukses Intervensi</v>
      </c>
    </row>
    <row r="22" spans="1:8" x14ac:dyDescent="0.35">
      <c r="A22" t="s">
        <v>10</v>
      </c>
      <c r="B22">
        <f>TINV(0.05,(326-5))</f>
        <v>1.967381707011099</v>
      </c>
    </row>
    <row r="24" spans="1:8" x14ac:dyDescent="0.35">
      <c r="A24" t="s">
        <v>29</v>
      </c>
    </row>
    <row r="25" spans="1:8" x14ac:dyDescent="0.35">
      <c r="A25" t="s">
        <v>8</v>
      </c>
      <c r="B25">
        <f>(B13*B12)/(SQRT(((B12^2)*(H13^2))+((B13^2)*(H12^2))))</f>
        <v>71.848136368492817</v>
      </c>
      <c r="C25" t="s">
        <v>9</v>
      </c>
      <c r="D25" t="str">
        <f>IF(ABS(B25)&lt;B26,"Gagal Intervernsi","Sukses Intervensi")</f>
        <v>Sukses Intervensi</v>
      </c>
    </row>
    <row r="26" spans="1:8" x14ac:dyDescent="0.35">
      <c r="A26" t="s">
        <v>10</v>
      </c>
      <c r="B26">
        <f>TINV(0.05,(326-5))</f>
        <v>1.967381707011099</v>
      </c>
    </row>
    <row r="28" spans="1:8" x14ac:dyDescent="0.35">
      <c r="A28" t="s">
        <v>30</v>
      </c>
    </row>
    <row r="29" spans="1:8" x14ac:dyDescent="0.35">
      <c r="A29" t="s">
        <v>28</v>
      </c>
    </row>
    <row r="30" spans="1:8" x14ac:dyDescent="0.35">
      <c r="A30" t="s">
        <v>8</v>
      </c>
      <c r="B30">
        <f>(B18*B12)/(SQRT(((B12^2)*(H18^2))+((B18^2)*(H12^2))))</f>
        <v>-48.605547495522345</v>
      </c>
      <c r="C30" t="s">
        <v>9</v>
      </c>
      <c r="D30" t="str">
        <f>IF(ABS(B30)&lt;B31,"Gagal Intervernsi","Sukses Intervensi")</f>
        <v>Sukses Intervensi</v>
      </c>
    </row>
    <row r="31" spans="1:8" x14ac:dyDescent="0.35">
      <c r="A31" t="s">
        <v>10</v>
      </c>
      <c r="B31">
        <f>TINV(0.05,(326-5))</f>
        <v>1.967381707011099</v>
      </c>
    </row>
    <row r="33" spans="1:4" x14ac:dyDescent="0.35">
      <c r="A33" t="s">
        <v>29</v>
      </c>
    </row>
    <row r="34" spans="1:4" x14ac:dyDescent="0.35">
      <c r="A34" t="s">
        <v>8</v>
      </c>
      <c r="B34">
        <f>(B17*B12)/(SQRT(((B12^2)*(H17^2))+((B17^2)*(H12^2))))</f>
        <v>10.474190031726131</v>
      </c>
      <c r="C34" t="s">
        <v>9</v>
      </c>
      <c r="D34" t="str">
        <f>IF(ABS(B34)&lt;B35,"Gagal Intervernsi","Sukses Intervensi")</f>
        <v>Sukses Intervensi</v>
      </c>
    </row>
    <row r="35" spans="1:4" x14ac:dyDescent="0.35">
      <c r="A35" t="s">
        <v>10</v>
      </c>
      <c r="B35">
        <f>TINV(0.05,(326-5))</f>
        <v>1.967381707011099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2025-01-20T03:31:45Z</dcterms:modified>
</cp:coreProperties>
</file>